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Renganathan\Downloads\"/>
    </mc:Choice>
  </mc:AlternateContent>
  <xr:revisionPtr revIDLastSave="0" documentId="13_ncr:1_{3F702FD5-1A51-443B-AEDC-A53C1A2F96D4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PLATING TIME" sheetId="6" r:id="rId1"/>
    <sheet name="FPL STOCK" sheetId="4" r:id="rId2"/>
    <sheet name="SFL PADI STOCK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7" i="4" l="1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4" i="4"/>
  <c r="H5" i="4"/>
  <c r="H6" i="4"/>
  <c r="H3" i="4"/>
  <c r="H6" i="5"/>
  <c r="H7" i="5"/>
  <c r="H8" i="5"/>
  <c r="H9" i="5"/>
  <c r="H10" i="5"/>
  <c r="H11" i="5"/>
  <c r="H12" i="5"/>
  <c r="H13" i="5"/>
  <c r="H5" i="5"/>
  <c r="F8" i="5"/>
  <c r="F9" i="5"/>
  <c r="G28" i="4"/>
  <c r="F5" i="5"/>
  <c r="F13" i="5" l="1"/>
  <c r="F12" i="5"/>
  <c r="F11" i="5"/>
  <c r="F10" i="5"/>
  <c r="F7" i="5"/>
  <c r="F6" i="5"/>
  <c r="F14" i="5" l="1"/>
</calcChain>
</file>

<file path=xl/sharedStrings.xml><?xml version="1.0" encoding="utf-8"?>
<sst xmlns="http://schemas.openxmlformats.org/spreadsheetml/2006/main" count="100" uniqueCount="56">
  <si>
    <t>PART NO</t>
  </si>
  <si>
    <t>02 08 125 075 08 21 12</t>
  </si>
  <si>
    <t>03 10 125 100 06 21 12</t>
  </si>
  <si>
    <t>12 07 100 065 08 90 12</t>
  </si>
  <si>
    <t>90 06 100 155 06 90 12</t>
  </si>
  <si>
    <t>03 06 100 070 06 21 12</t>
  </si>
  <si>
    <t>01 10 125 110 08 90 12</t>
  </si>
  <si>
    <t>15 12 125 105 06 21 12</t>
  </si>
  <si>
    <t>43 25 100 100 00 90 62</t>
  </si>
  <si>
    <t>44 06 100 050 00 92 12</t>
  </si>
  <si>
    <t>03 08 125 085 06 21 12</t>
  </si>
  <si>
    <t>MB8230-7300-FIN</t>
  </si>
  <si>
    <t>MB8890-7200-FIN</t>
  </si>
  <si>
    <t>MB8140-9900-FIN</t>
  </si>
  <si>
    <t>MB9490-7800-FIN</t>
  </si>
  <si>
    <t>MB9480-7200-FIN</t>
  </si>
  <si>
    <t>MB8350-7200-FIN</t>
  </si>
  <si>
    <t>MB8130-9900-FIN</t>
  </si>
  <si>
    <t>S.NO</t>
  </si>
  <si>
    <t>STOCK QTY IN NOS</t>
  </si>
  <si>
    <t>FPL</t>
  </si>
  <si>
    <t>SFL PADI</t>
  </si>
  <si>
    <t>TOTAL WEIGHT</t>
  </si>
  <si>
    <t>TOTAL</t>
  </si>
  <si>
    <t>BATCH QTY IN KGS</t>
  </si>
  <si>
    <t>PART NUMBER</t>
  </si>
  <si>
    <t>03 12 125 125 06 91 12</t>
  </si>
  <si>
    <t>12 10 100 060 05 90 12</t>
  </si>
  <si>
    <t>SOAK</t>
  </si>
  <si>
    <t>ACID PICKLING</t>
  </si>
  <si>
    <t>ANODIC CLEANING</t>
  </si>
  <si>
    <t>PRE-DIP</t>
  </si>
  <si>
    <t>PLATING</t>
  </si>
  <si>
    <t>HCL DIP</t>
  </si>
  <si>
    <t>PASSIVATION</t>
  </si>
  <si>
    <t>TIME IN SECONDS</t>
  </si>
  <si>
    <t>BAY 1</t>
  </si>
  <si>
    <t>BAY 2</t>
  </si>
  <si>
    <t>BAY 3</t>
  </si>
  <si>
    <t>NITRIC DIP</t>
  </si>
  <si>
    <t>PART WEIGHT IN KGS</t>
  </si>
  <si>
    <t>CHALLAN NO</t>
  </si>
  <si>
    <t>PO NUMBER</t>
  </si>
  <si>
    <t>PO DATE</t>
  </si>
  <si>
    <t>CHALLAN QTY IN KGS</t>
  </si>
  <si>
    <t>TOTAL RECEIVED</t>
  </si>
  <si>
    <t>FPL - MEP</t>
  </si>
  <si>
    <t>SFL PADI - MEP</t>
  </si>
  <si>
    <t>MB8240-7300-FIN</t>
  </si>
  <si>
    <t>MB8250-7300-FIN</t>
  </si>
  <si>
    <t>priority Order</t>
  </si>
  <si>
    <t>Number of batches</t>
  </si>
  <si>
    <t>Number of Batches</t>
  </si>
  <si>
    <t>Load per batch</t>
  </si>
  <si>
    <t>Scheduled?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</si>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</sst>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rgb="FF000000"/>
      <name val="Cambria"/>
      <family val="1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6"/>
      <color theme="1"/>
      <name val="Cambria"/>
      <family val="1"/>
    </font>
    <font>
      <b/>
      <sz val="20"/>
      <color theme="1"/>
      <name val="Cambria"/>
      <family val="1"/>
    </font>
    <font>
      <b/>
      <sz val="14"/>
      <color theme="1"/>
      <name val="Cambria"/>
      <family val="1"/>
    </font>
    <font>
      <sz val="12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indent="1"/>
    </xf>
    <xf numFmtId="0" fontId="1" fillId="2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6" fillId="0" borderId="1" xfId="0" applyFont="1" applyBorder="1"/>
    <xf numFmtId="164" fontId="2" fillId="0" borderId="1" xfId="0" applyNumberFormat="1" applyFont="1" applyBorder="1"/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4" fontId="7" fillId="0" borderId="7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3" borderId="0" xfId="0" applyFill="1"/>
    <xf numFmtId="165" fontId="0" fillId="0" borderId="0" xfId="0" applyNumberFormat="1"/>
    <xf numFmtId="0" fontId="3" fillId="3" borderId="8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opLeftCell="A11" workbookViewId="0">
      <selection activeCell="H25" sqref="H25"/>
    </sheetView>
  </sheetViews>
  <sheetFormatPr defaultColWidth="9.1796875" defaultRowHeight="22" customHeight="1" x14ac:dyDescent="0.3"/>
  <cols>
    <col min="1" max="1" width="9.1796875" style="3"/>
    <col min="2" max="2" width="22.26953125" style="3" bestFit="1" customWidth="1"/>
    <col min="3" max="3" width="18.7265625" style="3" customWidth="1"/>
    <col min="4" max="4" width="20" style="3" bestFit="1" customWidth="1"/>
    <col min="5" max="9" width="18.7265625" style="3" customWidth="1"/>
    <col min="10" max="16384" width="9.1796875" style="3"/>
  </cols>
  <sheetData>
    <row r="1" spans="1:9" ht="22" customHeight="1" x14ac:dyDescent="0.3">
      <c r="A1" s="25" t="s">
        <v>21</v>
      </c>
      <c r="B1" s="25"/>
      <c r="C1" s="25"/>
      <c r="D1" s="25"/>
      <c r="E1" s="25"/>
      <c r="F1" s="25"/>
      <c r="G1" s="25"/>
      <c r="H1" s="25"/>
      <c r="I1" s="25"/>
    </row>
    <row r="2" spans="1:9" ht="22" customHeight="1" x14ac:dyDescent="0.3">
      <c r="A2" s="26"/>
      <c r="B2" s="27"/>
      <c r="C2" s="30" t="s">
        <v>35</v>
      </c>
      <c r="D2" s="30"/>
      <c r="E2" s="30"/>
      <c r="F2" s="30"/>
      <c r="G2" s="30"/>
      <c r="H2" s="30"/>
      <c r="I2" s="30"/>
    </row>
    <row r="3" spans="1:9" ht="22" customHeight="1" x14ac:dyDescent="0.3">
      <c r="A3" s="28"/>
      <c r="B3" s="29"/>
      <c r="C3" s="30" t="s">
        <v>36</v>
      </c>
      <c r="D3" s="30"/>
      <c r="E3" s="30"/>
      <c r="F3" s="30" t="s">
        <v>37</v>
      </c>
      <c r="G3" s="30"/>
      <c r="H3" s="30"/>
      <c r="I3" s="30"/>
    </row>
    <row r="4" spans="1:9" ht="22" customHeight="1" x14ac:dyDescent="0.3">
      <c r="A4" s="11" t="s">
        <v>18</v>
      </c>
      <c r="B4" s="11" t="s">
        <v>0</v>
      </c>
      <c r="C4" s="11" t="s">
        <v>28</v>
      </c>
      <c r="D4" s="11" t="s">
        <v>30</v>
      </c>
      <c r="E4" s="11" t="s">
        <v>29</v>
      </c>
      <c r="F4" s="11" t="s">
        <v>31</v>
      </c>
      <c r="G4" s="11" t="s">
        <v>32</v>
      </c>
      <c r="H4" s="11" t="s">
        <v>33</v>
      </c>
      <c r="I4" s="11" t="s">
        <v>34</v>
      </c>
    </row>
    <row r="5" spans="1:9" ht="22" customHeight="1" x14ac:dyDescent="0.3">
      <c r="A5" s="4">
        <v>1</v>
      </c>
      <c r="B5" s="5" t="s">
        <v>17</v>
      </c>
      <c r="C5" s="2">
        <v>0</v>
      </c>
      <c r="D5" s="2">
        <v>300</v>
      </c>
      <c r="E5" s="2">
        <v>300</v>
      </c>
      <c r="F5" s="2">
        <v>20</v>
      </c>
      <c r="G5" s="2">
        <v>18000</v>
      </c>
      <c r="H5" s="2">
        <v>0</v>
      </c>
      <c r="I5" s="2">
        <v>0</v>
      </c>
    </row>
    <row r="6" spans="1:9" ht="22" customHeight="1" x14ac:dyDescent="0.3">
      <c r="A6" s="4">
        <v>2</v>
      </c>
      <c r="B6" s="5" t="s">
        <v>13</v>
      </c>
      <c r="C6" s="2">
        <v>0</v>
      </c>
      <c r="D6" s="2">
        <v>300</v>
      </c>
      <c r="E6" s="2">
        <v>300</v>
      </c>
      <c r="F6" s="2">
        <v>20</v>
      </c>
      <c r="G6" s="2">
        <v>18000</v>
      </c>
      <c r="H6" s="2">
        <v>0</v>
      </c>
      <c r="I6" s="2">
        <v>0</v>
      </c>
    </row>
    <row r="7" spans="1:9" ht="22" customHeight="1" x14ac:dyDescent="0.3">
      <c r="A7" s="4">
        <v>3</v>
      </c>
      <c r="B7" s="5" t="s">
        <v>11</v>
      </c>
      <c r="C7" s="2">
        <v>0</v>
      </c>
      <c r="D7" s="2">
        <v>300</v>
      </c>
      <c r="E7" s="2">
        <v>300</v>
      </c>
      <c r="F7" s="2">
        <v>20</v>
      </c>
      <c r="G7" s="2">
        <v>14500</v>
      </c>
      <c r="H7" s="2">
        <v>0</v>
      </c>
      <c r="I7" s="2">
        <v>0</v>
      </c>
    </row>
    <row r="8" spans="1:9" ht="22" customHeight="1" x14ac:dyDescent="0.3">
      <c r="A8" s="4">
        <v>4</v>
      </c>
      <c r="B8" s="5" t="s">
        <v>48</v>
      </c>
      <c r="C8" s="2">
        <v>0</v>
      </c>
      <c r="D8" s="2">
        <v>300</v>
      </c>
      <c r="E8" s="2">
        <v>300</v>
      </c>
      <c r="F8" s="2">
        <v>20</v>
      </c>
      <c r="G8" s="2">
        <v>10200</v>
      </c>
      <c r="H8" s="2">
        <v>0</v>
      </c>
      <c r="I8" s="2">
        <v>0</v>
      </c>
    </row>
    <row r="9" spans="1:9" ht="22" customHeight="1" x14ac:dyDescent="0.3">
      <c r="A9" s="4">
        <v>5</v>
      </c>
      <c r="B9" s="5" t="s">
        <v>49</v>
      </c>
      <c r="C9" s="2">
        <v>0</v>
      </c>
      <c r="D9" s="2">
        <v>300</v>
      </c>
      <c r="E9" s="2">
        <v>300</v>
      </c>
      <c r="F9" s="2">
        <v>20</v>
      </c>
      <c r="G9" s="2">
        <v>10200</v>
      </c>
      <c r="H9" s="2">
        <v>0</v>
      </c>
      <c r="I9" s="2">
        <v>0</v>
      </c>
    </row>
    <row r="10" spans="1:9" ht="22" customHeight="1" x14ac:dyDescent="0.3">
      <c r="A10" s="4">
        <v>6</v>
      </c>
      <c r="B10" s="5" t="s">
        <v>16</v>
      </c>
      <c r="C10" s="2">
        <v>0</v>
      </c>
      <c r="D10" s="2">
        <v>360</v>
      </c>
      <c r="E10" s="2">
        <v>360</v>
      </c>
      <c r="F10" s="2">
        <v>5</v>
      </c>
      <c r="G10" s="2">
        <v>10200</v>
      </c>
      <c r="H10" s="2">
        <v>1</v>
      </c>
      <c r="I10" s="2">
        <v>40</v>
      </c>
    </row>
    <row r="11" spans="1:9" ht="22" customHeight="1" x14ac:dyDescent="0.3">
      <c r="A11" s="4">
        <v>7</v>
      </c>
      <c r="B11" s="5" t="s">
        <v>12</v>
      </c>
      <c r="C11" s="2">
        <v>0</v>
      </c>
      <c r="D11" s="2">
        <v>360</v>
      </c>
      <c r="E11" s="2">
        <v>360</v>
      </c>
      <c r="F11" s="2">
        <v>5</v>
      </c>
      <c r="G11" s="2">
        <v>10200</v>
      </c>
      <c r="H11" s="2">
        <v>1</v>
      </c>
      <c r="I11" s="2">
        <v>40</v>
      </c>
    </row>
    <row r="12" spans="1:9" ht="22" customHeight="1" x14ac:dyDescent="0.3">
      <c r="A12" s="4">
        <v>8</v>
      </c>
      <c r="B12" s="5" t="s">
        <v>15</v>
      </c>
      <c r="C12" s="2">
        <v>0</v>
      </c>
      <c r="D12" s="2">
        <v>360</v>
      </c>
      <c r="E12" s="2">
        <v>360</v>
      </c>
      <c r="F12" s="2">
        <v>5</v>
      </c>
      <c r="G12" s="2">
        <v>10200</v>
      </c>
      <c r="H12" s="2">
        <v>1</v>
      </c>
      <c r="I12" s="2">
        <v>40</v>
      </c>
    </row>
    <row r="13" spans="1:9" ht="22" customHeight="1" x14ac:dyDescent="0.3">
      <c r="A13" s="4">
        <v>9</v>
      </c>
      <c r="B13" s="5" t="s">
        <v>14</v>
      </c>
      <c r="C13" s="2">
        <v>0</v>
      </c>
      <c r="D13" s="2">
        <v>360</v>
      </c>
      <c r="E13" s="2">
        <v>360</v>
      </c>
      <c r="F13" s="2">
        <v>5</v>
      </c>
      <c r="G13" s="2">
        <v>10200</v>
      </c>
      <c r="H13" s="2">
        <v>1</v>
      </c>
      <c r="I13" s="2">
        <v>40</v>
      </c>
    </row>
    <row r="16" spans="1:9" ht="22" customHeight="1" x14ac:dyDescent="0.3">
      <c r="A16" s="25" t="s">
        <v>20</v>
      </c>
      <c r="B16" s="25"/>
      <c r="C16" s="25"/>
      <c r="D16" s="25"/>
      <c r="E16" s="25"/>
      <c r="F16" s="25"/>
      <c r="G16" s="25"/>
      <c r="H16" s="25"/>
      <c r="I16" s="25"/>
    </row>
    <row r="17" spans="1:10" ht="22" customHeight="1" x14ac:dyDescent="0.3">
      <c r="A17" s="26"/>
      <c r="B17" s="27"/>
      <c r="C17" s="30" t="s">
        <v>35</v>
      </c>
      <c r="D17" s="30"/>
      <c r="E17" s="30"/>
      <c r="F17" s="30"/>
      <c r="G17" s="30"/>
      <c r="H17" s="30"/>
      <c r="I17" s="30"/>
    </row>
    <row r="18" spans="1:10" ht="22" customHeight="1" x14ac:dyDescent="0.3">
      <c r="A18" s="28"/>
      <c r="B18" s="29"/>
      <c r="C18" s="30" t="s">
        <v>36</v>
      </c>
      <c r="D18" s="30"/>
      <c r="E18" s="30"/>
      <c r="F18" s="30" t="s">
        <v>38</v>
      </c>
      <c r="G18" s="30"/>
      <c r="H18" s="30"/>
      <c r="I18" s="30"/>
      <c r="J18" s="3" t="s">
        <v>50</v>
      </c>
    </row>
    <row r="19" spans="1:10" ht="22" customHeight="1" x14ac:dyDescent="0.3">
      <c r="A19" s="11" t="s">
        <v>18</v>
      </c>
      <c r="B19" s="11" t="s">
        <v>0</v>
      </c>
      <c r="C19" s="11" t="s">
        <v>28</v>
      </c>
      <c r="D19" s="11" t="s">
        <v>30</v>
      </c>
      <c r="E19" s="11" t="s">
        <v>29</v>
      </c>
      <c r="F19" s="11" t="s">
        <v>31</v>
      </c>
      <c r="G19" s="11" t="s">
        <v>32</v>
      </c>
      <c r="H19" s="11" t="s">
        <v>39</v>
      </c>
      <c r="I19" s="11" t="s">
        <v>34</v>
      </c>
    </row>
    <row r="20" spans="1:10" ht="22" customHeight="1" x14ac:dyDescent="0.3">
      <c r="A20" s="4">
        <v>1</v>
      </c>
      <c r="B20" s="1" t="s">
        <v>10</v>
      </c>
      <c r="C20" s="2">
        <v>300</v>
      </c>
      <c r="D20" s="2">
        <v>180</v>
      </c>
      <c r="E20" s="2">
        <v>300</v>
      </c>
      <c r="F20" s="2">
        <v>20</v>
      </c>
      <c r="G20" s="2">
        <v>5500</v>
      </c>
      <c r="H20" s="2">
        <v>50</v>
      </c>
      <c r="I20" s="2">
        <v>30</v>
      </c>
    </row>
    <row r="21" spans="1:10" ht="22" customHeight="1" x14ac:dyDescent="0.3">
      <c r="A21" s="4">
        <v>2</v>
      </c>
      <c r="B21" s="1" t="s">
        <v>4</v>
      </c>
      <c r="C21" s="2">
        <v>300</v>
      </c>
      <c r="D21" s="2">
        <v>180</v>
      </c>
      <c r="E21" s="2">
        <v>300</v>
      </c>
      <c r="F21" s="2">
        <v>20</v>
      </c>
      <c r="G21" s="2">
        <v>5500</v>
      </c>
      <c r="H21" s="2">
        <v>50</v>
      </c>
      <c r="I21" s="2">
        <v>30</v>
      </c>
    </row>
    <row r="22" spans="1:10" ht="22" customHeight="1" x14ac:dyDescent="0.3">
      <c r="A22" s="4">
        <v>3</v>
      </c>
      <c r="B22" s="1" t="s">
        <v>3</v>
      </c>
      <c r="C22" s="2">
        <v>180</v>
      </c>
      <c r="D22" s="2">
        <v>240</v>
      </c>
      <c r="E22" s="2">
        <v>300</v>
      </c>
      <c r="F22" s="2">
        <v>20</v>
      </c>
      <c r="G22" s="2">
        <v>4800</v>
      </c>
      <c r="H22" s="2">
        <v>50</v>
      </c>
      <c r="I22" s="2">
        <v>30</v>
      </c>
      <c r="J22" s="3">
        <v>1</v>
      </c>
    </row>
    <row r="23" spans="1:10" ht="22" customHeight="1" x14ac:dyDescent="0.3">
      <c r="A23" s="4">
        <v>4</v>
      </c>
      <c r="B23" s="1" t="s">
        <v>2</v>
      </c>
      <c r="C23" s="2">
        <v>300</v>
      </c>
      <c r="D23" s="2">
        <v>180</v>
      </c>
      <c r="E23" s="2">
        <v>300</v>
      </c>
      <c r="F23" s="2">
        <v>20</v>
      </c>
      <c r="G23" s="2">
        <v>5500</v>
      </c>
      <c r="H23" s="2">
        <v>50</v>
      </c>
      <c r="I23" s="2">
        <v>30</v>
      </c>
    </row>
    <row r="24" spans="1:10" ht="22" customHeight="1" x14ac:dyDescent="0.3">
      <c r="A24" s="4">
        <v>5</v>
      </c>
      <c r="B24" s="1" t="s">
        <v>6</v>
      </c>
      <c r="C24" s="2">
        <v>300</v>
      </c>
      <c r="D24" s="2">
        <v>180</v>
      </c>
      <c r="E24" s="2">
        <v>300</v>
      </c>
      <c r="F24" s="2">
        <v>20</v>
      </c>
      <c r="G24" s="2">
        <v>5500</v>
      </c>
      <c r="H24" s="2">
        <v>50</v>
      </c>
      <c r="I24" s="2">
        <v>30</v>
      </c>
    </row>
    <row r="25" spans="1:10" ht="22" customHeight="1" x14ac:dyDescent="0.3">
      <c r="A25" s="4">
        <v>6</v>
      </c>
      <c r="B25" s="1" t="s">
        <v>9</v>
      </c>
      <c r="C25" s="2">
        <v>300</v>
      </c>
      <c r="D25" s="2">
        <v>180</v>
      </c>
      <c r="E25" s="2">
        <v>300</v>
      </c>
      <c r="F25" s="2">
        <v>20</v>
      </c>
      <c r="G25" s="2">
        <v>5500</v>
      </c>
      <c r="H25" s="2">
        <v>50</v>
      </c>
      <c r="I25" s="2">
        <v>30</v>
      </c>
      <c r="J25" s="3">
        <v>2</v>
      </c>
    </row>
    <row r="26" spans="1:10" ht="22" customHeight="1" x14ac:dyDescent="0.3">
      <c r="A26" s="4">
        <v>7</v>
      </c>
      <c r="B26" s="1" t="s">
        <v>7</v>
      </c>
      <c r="C26" s="2">
        <v>300</v>
      </c>
      <c r="D26" s="2">
        <v>180</v>
      </c>
      <c r="E26" s="2">
        <v>300</v>
      </c>
      <c r="F26" s="2">
        <v>20</v>
      </c>
      <c r="G26" s="2">
        <v>5500</v>
      </c>
      <c r="H26" s="2">
        <v>50</v>
      </c>
      <c r="I26" s="2">
        <v>30</v>
      </c>
    </row>
    <row r="27" spans="1:10" ht="22" customHeight="1" x14ac:dyDescent="0.3">
      <c r="A27" s="4">
        <v>8</v>
      </c>
      <c r="B27" s="1" t="s">
        <v>1</v>
      </c>
      <c r="C27" s="2">
        <v>300</v>
      </c>
      <c r="D27" s="2">
        <v>180</v>
      </c>
      <c r="E27" s="2">
        <v>300</v>
      </c>
      <c r="F27" s="2">
        <v>20</v>
      </c>
      <c r="G27" s="2">
        <v>5500</v>
      </c>
      <c r="H27" s="2">
        <v>50</v>
      </c>
      <c r="I27" s="2">
        <v>30</v>
      </c>
    </row>
    <row r="28" spans="1:10" ht="22" customHeight="1" x14ac:dyDescent="0.3">
      <c r="A28" s="4">
        <v>9</v>
      </c>
      <c r="B28" s="1" t="s">
        <v>8</v>
      </c>
      <c r="C28" s="2">
        <v>300</v>
      </c>
      <c r="D28" s="2">
        <v>180</v>
      </c>
      <c r="E28" s="2">
        <v>300</v>
      </c>
      <c r="F28" s="2">
        <v>20</v>
      </c>
      <c r="G28" s="2">
        <v>5500</v>
      </c>
      <c r="H28" s="2">
        <v>50</v>
      </c>
      <c r="I28" s="2">
        <v>30</v>
      </c>
    </row>
    <row r="29" spans="1:10" ht="22" customHeight="1" x14ac:dyDescent="0.3">
      <c r="A29" s="4">
        <v>10</v>
      </c>
      <c r="B29" s="1" t="s">
        <v>5</v>
      </c>
      <c r="C29" s="2">
        <v>300</v>
      </c>
      <c r="D29" s="2">
        <v>180</v>
      </c>
      <c r="E29" s="2">
        <v>300</v>
      </c>
      <c r="F29" s="2">
        <v>20</v>
      </c>
      <c r="G29" s="2">
        <v>5500</v>
      </c>
      <c r="H29" s="2">
        <v>50</v>
      </c>
      <c r="I29" s="2">
        <v>30</v>
      </c>
    </row>
  </sheetData>
  <mergeCells count="10">
    <mergeCell ref="A1:I1"/>
    <mergeCell ref="A16:I16"/>
    <mergeCell ref="A17:B18"/>
    <mergeCell ref="C17:I17"/>
    <mergeCell ref="C18:E18"/>
    <mergeCell ref="F18:I18"/>
    <mergeCell ref="C2:I2"/>
    <mergeCell ref="C3:E3"/>
    <mergeCell ref="F3:I3"/>
    <mergeCell ref="A2:B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28"/>
  <sheetViews>
    <sheetView tabSelected="1" topLeftCell="C5" workbookViewId="0">
      <selection activeCell="K2" sqref="K2"/>
    </sheetView>
  </sheetViews>
  <sheetFormatPr defaultRowHeight="14.5" x14ac:dyDescent="0.35"/>
  <cols>
    <col min="3" max="3" width="17.81640625" customWidth="1"/>
    <col min="4" max="4" width="27.26953125" customWidth="1"/>
    <col min="5" max="5" width="20.1796875" customWidth="1"/>
    <col min="6" max="6" width="26.1796875" customWidth="1"/>
    <col min="7" max="7" width="20.54296875" customWidth="1"/>
    <col min="8" max="8" width="18.6328125" bestFit="1" customWidth="1"/>
    <col min="9" max="9" width="13.6328125" customWidth="1"/>
  </cols>
  <sheetData>
    <row r="1" spans="2:11" ht="30" customHeight="1" x14ac:dyDescent="0.35">
      <c r="B1" s="24" t="s">
        <v>46</v>
      </c>
      <c r="C1" s="24"/>
      <c r="D1" s="24"/>
      <c r="E1" s="24"/>
      <c r="F1" s="24"/>
      <c r="G1" s="24"/>
    </row>
    <row r="2" spans="2:11" ht="30" customHeight="1" x14ac:dyDescent="0.35">
      <c r="B2" s="11" t="s">
        <v>18</v>
      </c>
      <c r="C2" s="17" t="s">
        <v>41</v>
      </c>
      <c r="D2" s="11" t="s">
        <v>42</v>
      </c>
      <c r="E2" s="11" t="s">
        <v>43</v>
      </c>
      <c r="F2" s="11" t="s">
        <v>25</v>
      </c>
      <c r="G2" s="17" t="s">
        <v>44</v>
      </c>
      <c r="H2" s="20" t="s">
        <v>52</v>
      </c>
      <c r="I2" s="20" t="s">
        <v>53</v>
      </c>
      <c r="J2" s="18" t="s">
        <v>54</v>
      </c>
      <c r="K2" s="18" t="s">
        <v>55</v>
      </c>
    </row>
    <row r="3" spans="2:11" ht="22" customHeight="1" x14ac:dyDescent="0.35">
      <c r="B3" s="12">
        <v>1</v>
      </c>
      <c r="C3" s="12">
        <v>418</v>
      </c>
      <c r="D3" s="12">
        <v>4700123326</v>
      </c>
      <c r="E3" s="13">
        <v>46158</v>
      </c>
      <c r="F3" s="12" t="s">
        <v>3</v>
      </c>
      <c r="G3" s="12">
        <v>280</v>
      </c>
      <c r="H3" s="19">
        <f>G3/I3</f>
        <v>4.666666666666667</v>
      </c>
      <c r="I3" s="21">
        <v>60</v>
      </c>
      <c r="J3" s="31">
        <v>1</v>
      </c>
      <c r="K3" s="33">
        <v>46181</v>
      </c>
    </row>
    <row r="4" spans="2:11" ht="22" customHeight="1" x14ac:dyDescent="0.35">
      <c r="B4" s="14">
        <v>2</v>
      </c>
      <c r="C4" s="14">
        <v>529</v>
      </c>
      <c r="D4" s="14">
        <v>4700123530</v>
      </c>
      <c r="E4" s="15">
        <v>46168</v>
      </c>
      <c r="F4" s="14" t="s">
        <v>9</v>
      </c>
      <c r="G4" s="14">
        <v>140</v>
      </c>
      <c r="H4" s="19">
        <f t="shared" ref="H4:H26" si="0">G4/I4</f>
        <v>2.9166666666666665</v>
      </c>
      <c r="I4" s="21">
        <v>48</v>
      </c>
      <c r="J4" s="31">
        <v>1</v>
      </c>
      <c r="K4" s="33">
        <v>46181</v>
      </c>
    </row>
    <row r="5" spans="2:11" ht="22" customHeight="1" x14ac:dyDescent="0.35">
      <c r="B5" s="14">
        <v>3</v>
      </c>
      <c r="C5" s="14">
        <v>539</v>
      </c>
      <c r="D5" s="14">
        <v>4700123555</v>
      </c>
      <c r="E5" s="15">
        <v>46169</v>
      </c>
      <c r="F5" s="14" t="s">
        <v>27</v>
      </c>
      <c r="G5" s="14">
        <v>600</v>
      </c>
      <c r="H5" s="19">
        <f t="shared" si="0"/>
        <v>10</v>
      </c>
      <c r="I5" s="21">
        <v>60</v>
      </c>
      <c r="J5" s="31">
        <v>1</v>
      </c>
      <c r="K5" s="33">
        <v>46181</v>
      </c>
    </row>
    <row r="6" spans="2:11" ht="22" customHeight="1" x14ac:dyDescent="0.35">
      <c r="B6" s="12">
        <v>4</v>
      </c>
      <c r="C6" s="14">
        <v>539</v>
      </c>
      <c r="D6" s="14">
        <v>4700123555</v>
      </c>
      <c r="E6" s="15">
        <v>46169</v>
      </c>
      <c r="F6" s="14" t="s">
        <v>4</v>
      </c>
      <c r="G6" s="14">
        <v>336</v>
      </c>
      <c r="H6" s="19">
        <f t="shared" si="0"/>
        <v>7</v>
      </c>
      <c r="I6" s="22">
        <v>48</v>
      </c>
      <c r="J6" s="32">
        <v>1</v>
      </c>
      <c r="K6" s="33">
        <v>46181</v>
      </c>
    </row>
    <row r="7" spans="2:11" ht="22" customHeight="1" x14ac:dyDescent="0.35">
      <c r="B7" s="14">
        <v>5</v>
      </c>
      <c r="C7" s="14">
        <v>551</v>
      </c>
      <c r="D7" s="14">
        <v>4700123583</v>
      </c>
      <c r="E7" s="15">
        <v>46170</v>
      </c>
      <c r="F7" s="14" t="s">
        <v>4</v>
      </c>
      <c r="G7" s="14">
        <v>112</v>
      </c>
      <c r="H7" s="19">
        <f t="shared" si="0"/>
        <v>2.3333333333333335</v>
      </c>
      <c r="I7" s="22">
        <v>48</v>
      </c>
      <c r="J7" s="32">
        <v>1</v>
      </c>
      <c r="K7" s="33">
        <v>46181</v>
      </c>
    </row>
    <row r="8" spans="2:11" ht="22" customHeight="1" x14ac:dyDescent="0.35">
      <c r="B8" s="14">
        <v>6</v>
      </c>
      <c r="C8" s="14">
        <v>564</v>
      </c>
      <c r="D8" s="14">
        <v>4700123613</v>
      </c>
      <c r="E8" s="15">
        <v>46171</v>
      </c>
      <c r="F8" s="14" t="s">
        <v>8</v>
      </c>
      <c r="G8" s="14">
        <v>608</v>
      </c>
      <c r="H8" s="19">
        <f t="shared" si="0"/>
        <v>10.133333333333333</v>
      </c>
      <c r="I8" s="22">
        <v>60</v>
      </c>
      <c r="J8" s="32">
        <v>1</v>
      </c>
      <c r="K8" s="33">
        <v>46181</v>
      </c>
    </row>
    <row r="9" spans="2:11" ht="22" customHeight="1" x14ac:dyDescent="0.35">
      <c r="B9" s="12">
        <v>7</v>
      </c>
      <c r="C9" s="14">
        <v>564</v>
      </c>
      <c r="D9" s="14">
        <v>4700123613</v>
      </c>
      <c r="E9" s="15">
        <v>46171</v>
      </c>
      <c r="F9" s="14" t="s">
        <v>1</v>
      </c>
      <c r="G9" s="14">
        <v>120</v>
      </c>
      <c r="H9" s="19">
        <f t="shared" si="0"/>
        <v>2</v>
      </c>
      <c r="I9" s="22">
        <v>60</v>
      </c>
      <c r="J9" s="32">
        <v>1</v>
      </c>
      <c r="K9" s="33">
        <v>46182</v>
      </c>
    </row>
    <row r="10" spans="2:11" ht="22" customHeight="1" x14ac:dyDescent="0.35">
      <c r="B10" s="14">
        <v>8</v>
      </c>
      <c r="C10" s="14">
        <v>564</v>
      </c>
      <c r="D10" s="14">
        <v>4700123613</v>
      </c>
      <c r="E10" s="15">
        <v>46171</v>
      </c>
      <c r="F10" s="14" t="s">
        <v>4</v>
      </c>
      <c r="G10" s="14">
        <v>98</v>
      </c>
      <c r="H10" s="19">
        <f t="shared" si="0"/>
        <v>2.0416666666666665</v>
      </c>
      <c r="I10" s="22">
        <v>48</v>
      </c>
      <c r="J10" s="32">
        <v>1</v>
      </c>
      <c r="K10" s="33">
        <v>46182</v>
      </c>
    </row>
    <row r="11" spans="2:11" ht="22" customHeight="1" x14ac:dyDescent="0.35">
      <c r="B11" s="14">
        <v>9</v>
      </c>
      <c r="C11" s="12">
        <v>578</v>
      </c>
      <c r="D11" s="12">
        <v>4700123637</v>
      </c>
      <c r="E11" s="13">
        <v>46172</v>
      </c>
      <c r="F11" s="12" t="s">
        <v>5</v>
      </c>
      <c r="G11" s="12">
        <v>140</v>
      </c>
      <c r="H11" s="19">
        <f t="shared" si="0"/>
        <v>2.3333333333333335</v>
      </c>
      <c r="I11" s="22">
        <v>60</v>
      </c>
      <c r="J11" s="32">
        <v>1</v>
      </c>
      <c r="K11" s="33">
        <v>46182</v>
      </c>
    </row>
    <row r="12" spans="2:11" ht="22" customHeight="1" x14ac:dyDescent="0.35">
      <c r="B12" s="12">
        <v>10</v>
      </c>
      <c r="C12" s="12">
        <v>578</v>
      </c>
      <c r="D12" s="12">
        <v>4700123637</v>
      </c>
      <c r="E12" s="13">
        <v>46172</v>
      </c>
      <c r="F12" s="12" t="s">
        <v>10</v>
      </c>
      <c r="G12" s="12">
        <v>160</v>
      </c>
      <c r="H12" s="19">
        <f t="shared" si="0"/>
        <v>2.6666666666666665</v>
      </c>
      <c r="I12" s="22">
        <v>60</v>
      </c>
      <c r="J12" s="32">
        <v>1</v>
      </c>
      <c r="K12" s="33">
        <v>46182</v>
      </c>
    </row>
    <row r="13" spans="2:11" ht="22" customHeight="1" x14ac:dyDescent="0.35">
      <c r="B13" s="14">
        <v>11</v>
      </c>
      <c r="C13" s="14">
        <v>578</v>
      </c>
      <c r="D13" s="14">
        <v>4700123637</v>
      </c>
      <c r="E13" s="15">
        <v>46172</v>
      </c>
      <c r="F13" s="14" t="s">
        <v>1</v>
      </c>
      <c r="G13" s="14">
        <v>400</v>
      </c>
      <c r="H13" s="19">
        <f t="shared" si="0"/>
        <v>6.666666666666667</v>
      </c>
      <c r="I13" s="22">
        <v>60</v>
      </c>
      <c r="J13" s="32">
        <v>1</v>
      </c>
      <c r="K13" s="33">
        <v>46182</v>
      </c>
    </row>
    <row r="14" spans="2:11" ht="22" customHeight="1" x14ac:dyDescent="0.35">
      <c r="B14" s="14">
        <v>12</v>
      </c>
      <c r="C14" s="14">
        <v>578</v>
      </c>
      <c r="D14" s="14">
        <v>4700123637</v>
      </c>
      <c r="E14" s="15">
        <v>46172</v>
      </c>
      <c r="F14" s="14" t="s">
        <v>4</v>
      </c>
      <c r="G14" s="14">
        <v>112</v>
      </c>
      <c r="H14" s="19">
        <f t="shared" si="0"/>
        <v>2.3333333333333335</v>
      </c>
      <c r="I14" s="21">
        <v>48</v>
      </c>
      <c r="J14" s="31">
        <v>1</v>
      </c>
      <c r="K14" s="33">
        <v>46182</v>
      </c>
    </row>
    <row r="15" spans="2:11" ht="22" customHeight="1" x14ac:dyDescent="0.35">
      <c r="B15" s="12">
        <v>13</v>
      </c>
      <c r="C15" s="14">
        <v>588</v>
      </c>
      <c r="D15" s="14">
        <v>4700123669</v>
      </c>
      <c r="E15" s="15">
        <v>46174</v>
      </c>
      <c r="F15" s="14" t="s">
        <v>5</v>
      </c>
      <c r="G15" s="14">
        <v>260</v>
      </c>
      <c r="H15" s="19">
        <f t="shared" si="0"/>
        <v>4.333333333333333</v>
      </c>
      <c r="I15" s="22">
        <v>60</v>
      </c>
      <c r="J15" s="32">
        <v>1</v>
      </c>
      <c r="K15" s="33">
        <v>46182</v>
      </c>
    </row>
    <row r="16" spans="2:11" ht="22" customHeight="1" x14ac:dyDescent="0.35">
      <c r="B16" s="14">
        <v>14</v>
      </c>
      <c r="C16" s="14">
        <v>588</v>
      </c>
      <c r="D16" s="14">
        <v>4700123669</v>
      </c>
      <c r="E16" s="15">
        <v>46174</v>
      </c>
      <c r="F16" s="14" t="s">
        <v>10</v>
      </c>
      <c r="G16" s="14">
        <v>800</v>
      </c>
      <c r="H16" s="19">
        <f t="shared" si="0"/>
        <v>13.333333333333334</v>
      </c>
      <c r="I16" s="22">
        <v>60</v>
      </c>
      <c r="J16" s="32">
        <v>1</v>
      </c>
      <c r="K16" s="33">
        <v>46182</v>
      </c>
    </row>
    <row r="17" spans="2:9" ht="22" customHeight="1" x14ac:dyDescent="0.35">
      <c r="B17" s="14">
        <v>15</v>
      </c>
      <c r="C17" s="14">
        <v>588</v>
      </c>
      <c r="D17" s="14">
        <v>4700123669</v>
      </c>
      <c r="E17" s="15">
        <v>46174</v>
      </c>
      <c r="F17" s="14" t="s">
        <v>4</v>
      </c>
      <c r="G17" s="14">
        <v>532</v>
      </c>
      <c r="H17" s="19">
        <f t="shared" si="0"/>
        <v>11.083333333333334</v>
      </c>
      <c r="I17" s="21">
        <v>48</v>
      </c>
    </row>
    <row r="18" spans="2:9" ht="22" customHeight="1" x14ac:dyDescent="0.35">
      <c r="B18" s="12">
        <v>16</v>
      </c>
      <c r="C18" s="14">
        <v>602</v>
      </c>
      <c r="D18" s="14">
        <v>4700123692</v>
      </c>
      <c r="E18" s="15">
        <v>46175</v>
      </c>
      <c r="F18" s="14" t="s">
        <v>1</v>
      </c>
      <c r="G18" s="14">
        <v>200</v>
      </c>
      <c r="H18" s="19">
        <f t="shared" si="0"/>
        <v>3.3333333333333335</v>
      </c>
      <c r="I18" s="22">
        <v>60</v>
      </c>
    </row>
    <row r="19" spans="2:9" ht="22" customHeight="1" x14ac:dyDescent="0.35">
      <c r="B19" s="14">
        <v>17</v>
      </c>
      <c r="C19" s="12">
        <v>612</v>
      </c>
      <c r="D19" s="12">
        <v>4700123710</v>
      </c>
      <c r="E19" s="13">
        <v>46176</v>
      </c>
      <c r="F19" s="12" t="s">
        <v>6</v>
      </c>
      <c r="G19" s="12">
        <v>80</v>
      </c>
      <c r="H19" s="19">
        <f t="shared" si="0"/>
        <v>1.3333333333333333</v>
      </c>
      <c r="I19" s="22">
        <v>60</v>
      </c>
    </row>
    <row r="20" spans="2:9" ht="22" customHeight="1" x14ac:dyDescent="0.35">
      <c r="B20" s="14">
        <v>18</v>
      </c>
      <c r="C20" s="12">
        <v>612</v>
      </c>
      <c r="D20" s="12">
        <v>4700123710</v>
      </c>
      <c r="E20" s="13">
        <v>46176</v>
      </c>
      <c r="F20" s="12" t="s">
        <v>2</v>
      </c>
      <c r="G20" s="12">
        <v>240</v>
      </c>
      <c r="H20" s="19">
        <f t="shared" si="0"/>
        <v>4</v>
      </c>
      <c r="I20" s="22">
        <v>60</v>
      </c>
    </row>
    <row r="21" spans="2:9" ht="22" customHeight="1" x14ac:dyDescent="0.35">
      <c r="B21" s="12">
        <v>19</v>
      </c>
      <c r="C21" s="14">
        <v>622</v>
      </c>
      <c r="D21" s="14">
        <v>4700123744</v>
      </c>
      <c r="E21" s="15">
        <v>46177</v>
      </c>
      <c r="F21" s="12" t="s">
        <v>6</v>
      </c>
      <c r="G21" s="14">
        <v>500</v>
      </c>
      <c r="H21" s="19">
        <f t="shared" si="0"/>
        <v>8.3333333333333339</v>
      </c>
      <c r="I21" s="22">
        <v>60</v>
      </c>
    </row>
    <row r="22" spans="2:9" ht="22" customHeight="1" x14ac:dyDescent="0.35">
      <c r="B22" s="14">
        <v>20</v>
      </c>
      <c r="C22" s="14">
        <v>622</v>
      </c>
      <c r="D22" s="14">
        <v>4700123744</v>
      </c>
      <c r="E22" s="15">
        <v>46177</v>
      </c>
      <c r="F22" s="12" t="s">
        <v>2</v>
      </c>
      <c r="G22" s="14">
        <v>800</v>
      </c>
      <c r="H22" s="19">
        <f t="shared" si="0"/>
        <v>13.333333333333334</v>
      </c>
      <c r="I22" s="22">
        <v>60</v>
      </c>
    </row>
    <row r="23" spans="2:9" ht="22" customHeight="1" x14ac:dyDescent="0.35">
      <c r="B23" s="14">
        <v>21</v>
      </c>
      <c r="C23" s="14">
        <v>622</v>
      </c>
      <c r="D23" s="14">
        <v>4700123744</v>
      </c>
      <c r="E23" s="15">
        <v>46177</v>
      </c>
      <c r="F23" s="14" t="s">
        <v>26</v>
      </c>
      <c r="G23" s="14">
        <v>540</v>
      </c>
      <c r="H23" s="19">
        <f t="shared" si="0"/>
        <v>9</v>
      </c>
      <c r="I23" s="22">
        <v>60</v>
      </c>
    </row>
    <row r="24" spans="2:9" ht="22" customHeight="1" x14ac:dyDescent="0.35">
      <c r="B24" s="12">
        <v>22</v>
      </c>
      <c r="C24" s="14">
        <v>634</v>
      </c>
      <c r="D24" s="14">
        <v>4700123765</v>
      </c>
      <c r="E24" s="15">
        <v>46178</v>
      </c>
      <c r="F24" s="12" t="s">
        <v>2</v>
      </c>
      <c r="G24" s="14">
        <v>240</v>
      </c>
      <c r="H24" s="19">
        <f t="shared" si="0"/>
        <v>4</v>
      </c>
      <c r="I24" s="22">
        <v>60</v>
      </c>
    </row>
    <row r="25" spans="2:9" ht="22" customHeight="1" x14ac:dyDescent="0.35">
      <c r="B25" s="14">
        <v>23</v>
      </c>
      <c r="C25" s="14">
        <v>634</v>
      </c>
      <c r="D25" s="14">
        <v>4700123765</v>
      </c>
      <c r="E25" s="15">
        <v>46178</v>
      </c>
      <c r="F25" s="14" t="s">
        <v>26</v>
      </c>
      <c r="G25" s="14">
        <v>900</v>
      </c>
      <c r="H25" s="19">
        <f t="shared" si="0"/>
        <v>15</v>
      </c>
      <c r="I25" s="22">
        <v>60</v>
      </c>
    </row>
    <row r="26" spans="2:9" ht="22" customHeight="1" x14ac:dyDescent="0.35">
      <c r="B26" s="14">
        <v>24</v>
      </c>
      <c r="C26" s="14">
        <v>634</v>
      </c>
      <c r="D26" s="14">
        <v>4700123765</v>
      </c>
      <c r="E26" s="15">
        <v>46178</v>
      </c>
      <c r="F26" s="14" t="s">
        <v>4</v>
      </c>
      <c r="G26" s="14">
        <v>336</v>
      </c>
      <c r="H26" s="19">
        <f t="shared" si="0"/>
        <v>7</v>
      </c>
      <c r="I26" s="21">
        <v>48</v>
      </c>
    </row>
    <row r="27" spans="2:9" ht="22" customHeight="1" x14ac:dyDescent="0.35">
      <c r="B27" s="14"/>
      <c r="C27" s="14"/>
      <c r="D27" s="14"/>
      <c r="E27" s="15"/>
      <c r="F27" s="14"/>
      <c r="G27" s="14"/>
    </row>
    <row r="28" spans="2:9" ht="35.15" customHeight="1" x14ac:dyDescent="0.35">
      <c r="B28" s="23" t="s">
        <v>45</v>
      </c>
      <c r="C28" s="23"/>
      <c r="D28" s="23"/>
      <c r="E28" s="23"/>
      <c r="F28" s="23"/>
      <c r="G28" s="16">
        <f>SUM(G3:G27)</f>
        <v>8534</v>
      </c>
    </row>
  </sheetData>
  <mergeCells count="2">
    <mergeCell ref="B28:F28"/>
    <mergeCell ref="B1:G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H16"/>
  <sheetViews>
    <sheetView topLeftCell="A4" workbookViewId="0">
      <selection activeCell="H8" sqref="H8"/>
    </sheetView>
  </sheetViews>
  <sheetFormatPr defaultRowHeight="20.149999999999999" customHeight="1" x14ac:dyDescent="0.35"/>
  <cols>
    <col min="3" max="3" width="19.453125" bestFit="1" customWidth="1"/>
    <col min="4" max="4" width="15.7265625" customWidth="1"/>
    <col min="5" max="5" width="13.453125" customWidth="1"/>
    <col min="6" max="6" width="18.81640625" bestFit="1" customWidth="1"/>
    <col min="7" max="7" width="20.26953125" bestFit="1" customWidth="1"/>
    <col min="8" max="8" width="16.81640625" bestFit="1" customWidth="1"/>
  </cols>
  <sheetData>
    <row r="3" spans="2:8" ht="36" customHeight="1" x14ac:dyDescent="0.35">
      <c r="B3" s="24" t="s">
        <v>47</v>
      </c>
      <c r="C3" s="24"/>
      <c r="D3" s="24"/>
      <c r="E3" s="24"/>
      <c r="F3" s="24"/>
      <c r="G3" s="24"/>
    </row>
    <row r="4" spans="2:8" ht="47.25" customHeight="1" x14ac:dyDescent="0.35">
      <c r="B4" s="6" t="s">
        <v>18</v>
      </c>
      <c r="C4" s="6" t="s">
        <v>0</v>
      </c>
      <c r="D4" s="10" t="s">
        <v>19</v>
      </c>
      <c r="E4" s="10" t="s">
        <v>40</v>
      </c>
      <c r="F4" s="7" t="s">
        <v>22</v>
      </c>
      <c r="G4" s="7" t="s">
        <v>24</v>
      </c>
      <c r="H4" s="18" t="s">
        <v>51</v>
      </c>
    </row>
    <row r="5" spans="2:8" ht="25" customHeight="1" x14ac:dyDescent="0.35">
      <c r="B5" s="4">
        <v>1</v>
      </c>
      <c r="C5" s="5" t="s">
        <v>17</v>
      </c>
      <c r="D5" s="1">
        <v>4320</v>
      </c>
      <c r="E5" s="9">
        <v>0.22500000000000001</v>
      </c>
      <c r="F5" s="1">
        <f>D5*E5</f>
        <v>972</v>
      </c>
      <c r="G5" s="1">
        <v>50</v>
      </c>
      <c r="H5" s="19">
        <f>F5/G5</f>
        <v>19.440000000000001</v>
      </c>
    </row>
    <row r="6" spans="2:8" ht="25" customHeight="1" x14ac:dyDescent="0.35">
      <c r="B6" s="4">
        <v>2</v>
      </c>
      <c r="C6" s="5" t="s">
        <v>13</v>
      </c>
      <c r="D6" s="1">
        <v>535</v>
      </c>
      <c r="E6" s="9">
        <v>0.21099999999999999</v>
      </c>
      <c r="F6" s="1">
        <f t="shared" ref="F6:F7" si="0">D6*E6</f>
        <v>112.88499999999999</v>
      </c>
      <c r="G6" s="1">
        <v>50</v>
      </c>
      <c r="H6" s="19">
        <f t="shared" ref="H6:H13" si="1">F6/G6</f>
        <v>2.2576999999999998</v>
      </c>
    </row>
    <row r="7" spans="2:8" ht="25" customHeight="1" x14ac:dyDescent="0.35">
      <c r="B7" s="4">
        <v>3</v>
      </c>
      <c r="C7" s="5" t="s">
        <v>11</v>
      </c>
      <c r="D7" s="1">
        <v>1448</v>
      </c>
      <c r="E7" s="9">
        <v>0.13550000000000001</v>
      </c>
      <c r="F7" s="1">
        <f t="shared" si="0"/>
        <v>196.20400000000001</v>
      </c>
      <c r="G7" s="1">
        <v>50</v>
      </c>
      <c r="H7" s="19">
        <f t="shared" si="1"/>
        <v>3.92408</v>
      </c>
    </row>
    <row r="8" spans="2:8" ht="25" customHeight="1" x14ac:dyDescent="0.35">
      <c r="B8" s="4">
        <v>4</v>
      </c>
      <c r="C8" s="5" t="s">
        <v>48</v>
      </c>
      <c r="D8" s="1">
        <v>24853</v>
      </c>
      <c r="E8" s="9">
        <v>0.14419999999999999</v>
      </c>
      <c r="F8" s="1">
        <f>D8*E8</f>
        <v>3583.8026</v>
      </c>
      <c r="G8" s="1">
        <v>50</v>
      </c>
      <c r="H8" s="19">
        <f t="shared" si="1"/>
        <v>71.676051999999999</v>
      </c>
    </row>
    <row r="9" spans="2:8" ht="25" customHeight="1" x14ac:dyDescent="0.35">
      <c r="B9" s="4">
        <v>5</v>
      </c>
      <c r="C9" s="5" t="s">
        <v>49</v>
      </c>
      <c r="D9" s="1">
        <v>819</v>
      </c>
      <c r="E9" s="9">
        <v>0.17707999999999999</v>
      </c>
      <c r="F9" s="1">
        <f t="shared" ref="F9" si="2">D9*E9</f>
        <v>145.02851999999999</v>
      </c>
      <c r="G9" s="1">
        <v>50</v>
      </c>
      <c r="H9" s="19">
        <f t="shared" si="1"/>
        <v>2.9005703999999999</v>
      </c>
    </row>
    <row r="10" spans="2:8" ht="25" customHeight="1" x14ac:dyDescent="0.35">
      <c r="B10" s="4">
        <v>6</v>
      </c>
      <c r="C10" s="5" t="s">
        <v>16</v>
      </c>
      <c r="D10" s="1">
        <v>159</v>
      </c>
      <c r="E10" s="9">
        <v>0.2626</v>
      </c>
      <c r="F10" s="1">
        <f t="shared" ref="F10:F13" si="3">D10*E10</f>
        <v>41.753399999999999</v>
      </c>
      <c r="G10" s="1">
        <v>50</v>
      </c>
      <c r="H10" s="19">
        <f t="shared" si="1"/>
        <v>0.83506800000000003</v>
      </c>
    </row>
    <row r="11" spans="2:8" ht="25" customHeight="1" x14ac:dyDescent="0.35">
      <c r="B11" s="4">
        <v>7</v>
      </c>
      <c r="C11" s="5" t="s">
        <v>12</v>
      </c>
      <c r="D11" s="1">
        <v>0</v>
      </c>
      <c r="E11" s="9">
        <v>0.1227</v>
      </c>
      <c r="F11" s="1">
        <f t="shared" si="3"/>
        <v>0</v>
      </c>
      <c r="G11" s="1">
        <v>25</v>
      </c>
      <c r="H11" s="19">
        <f t="shared" si="1"/>
        <v>0</v>
      </c>
    </row>
    <row r="12" spans="2:8" ht="25" customHeight="1" x14ac:dyDescent="0.35">
      <c r="B12" s="4">
        <v>8</v>
      </c>
      <c r="C12" s="5" t="s">
        <v>15</v>
      </c>
      <c r="D12" s="1">
        <v>59</v>
      </c>
      <c r="E12" s="9">
        <v>0.20588000000000001</v>
      </c>
      <c r="F12" s="1">
        <f t="shared" si="3"/>
        <v>12.14692</v>
      </c>
      <c r="G12" s="1">
        <v>50</v>
      </c>
      <c r="H12" s="19">
        <f t="shared" si="1"/>
        <v>0.2429384</v>
      </c>
    </row>
    <row r="13" spans="2:8" ht="25" customHeight="1" x14ac:dyDescent="0.35">
      <c r="B13" s="4">
        <v>9</v>
      </c>
      <c r="C13" s="5" t="s">
        <v>14</v>
      </c>
      <c r="D13" s="1">
        <v>354</v>
      </c>
      <c r="E13" s="9">
        <v>0.160299</v>
      </c>
      <c r="F13" s="1">
        <f t="shared" si="3"/>
        <v>56.745846</v>
      </c>
      <c r="G13" s="1">
        <v>25</v>
      </c>
      <c r="H13" s="19">
        <f t="shared" si="1"/>
        <v>2.26983384</v>
      </c>
    </row>
    <row r="14" spans="2:8" ht="25" customHeight="1" x14ac:dyDescent="0.35">
      <c r="B14" s="23" t="s">
        <v>23</v>
      </c>
      <c r="C14" s="23"/>
      <c r="D14" s="23"/>
      <c r="E14" s="23"/>
      <c r="F14" s="8">
        <f>SUM(F5:F13)</f>
        <v>5120.5662859999993</v>
      </c>
      <c r="G14" s="3"/>
    </row>
    <row r="15" spans="2:8" ht="25" customHeight="1" x14ac:dyDescent="0.35"/>
    <row r="16" spans="2:8" ht="25" customHeight="1" x14ac:dyDescent="0.35"/>
  </sheetData>
  <mergeCells count="2">
    <mergeCell ref="B3:G3"/>
    <mergeCell ref="B14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PLATING TIME</vt:lpstr>
      <vt:lpstr>FPL STOCK</vt:lpstr>
      <vt:lpstr>SFL PADI 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Madras</dc:creator>
  <cp:lastModifiedBy>Renga L V</cp:lastModifiedBy>
  <dcterms:created xsi:type="dcterms:W3CDTF">2025-10-26T05:13:38Z</dcterms:created>
  <dcterms:modified xsi:type="dcterms:W3CDTF">2026-06-08T11:46:38Z</dcterms:modified>
</cp:coreProperties>
</file>